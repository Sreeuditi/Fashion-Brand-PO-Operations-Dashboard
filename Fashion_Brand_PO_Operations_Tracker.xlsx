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TICS\"/>
    </mc:Choice>
  </mc:AlternateContent>
  <xr:revisionPtr revIDLastSave="0" documentId="13_ncr:1_{B6D08456-32D6-4622-AAE0-CC3D67C7A852}" xr6:coauthVersionLast="36" xr6:coauthVersionMax="36" xr10:uidLastSave="{00000000-0000-0000-0000-000000000000}"/>
  <bookViews>
    <workbookView xWindow="0" yWindow="0" windowWidth="19200" windowHeight="6930" firstSheet="1" activeTab="4" xr2:uid="{0F31213E-4872-4003-92D0-D5FDDC9D110C}"/>
  </bookViews>
  <sheets>
    <sheet name="Brand_Product_Master" sheetId="1" r:id="rId1"/>
    <sheet name="Inventory" sheetId="2" r:id="rId2"/>
    <sheet name="Purchase_Order" sheetId="3" r:id="rId3"/>
    <sheet name="PO_Tracker" sheetId="4" r:id="rId4"/>
    <sheet name="Issue_Tracker" sheetId="6" r:id="rId5"/>
    <sheet name="ANALYSIS" sheetId="7" r:id="rId6"/>
    <sheet name="Dashboard" sheetId="5" r:id="rId7"/>
  </sheets>
  <calcPr calcId="191029"/>
  <pivotCaches>
    <pivotCache cacheId="96" r:id="rId8"/>
    <pivotCache cacheId="100" r:id="rId9"/>
    <pivotCache cacheId="103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5" l="1"/>
  <c r="G5" i="4" l="1"/>
  <c r="G6" i="4"/>
  <c r="G7" i="4"/>
  <c r="G8" i="4"/>
  <c r="G9" i="4"/>
  <c r="H5" i="4"/>
  <c r="H6" i="4"/>
  <c r="H7" i="4"/>
  <c r="H8" i="4"/>
  <c r="H9" i="4"/>
  <c r="G2" i="4"/>
  <c r="G3" i="4"/>
  <c r="G4" i="4"/>
  <c r="H2" i="4"/>
  <c r="H3" i="4"/>
  <c r="H4" i="4"/>
  <c r="G2" i="3"/>
  <c r="G3" i="3"/>
  <c r="G4" i="3"/>
  <c r="G5" i="3"/>
  <c r="G6" i="3"/>
  <c r="G7" i="3"/>
  <c r="H2" i="2"/>
  <c r="H3" i="2"/>
  <c r="H4" i="2"/>
  <c r="H5" i="2"/>
  <c r="H6" i="2"/>
  <c r="H7" i="2"/>
  <c r="H8" i="2"/>
  <c r="H9" i="2"/>
  <c r="H10" i="2"/>
  <c r="H11" i="2"/>
  <c r="G2" i="2"/>
  <c r="G3" i="2"/>
  <c r="G4" i="2"/>
  <c r="G5" i="2"/>
  <c r="G6" i="2"/>
  <c r="G7" i="2"/>
  <c r="G8" i="2"/>
  <c r="G9" i="2"/>
  <c r="G10" i="2"/>
  <c r="G11" i="2"/>
</calcChain>
</file>

<file path=xl/sharedStrings.xml><?xml version="1.0" encoding="utf-8"?>
<sst xmlns="http://schemas.openxmlformats.org/spreadsheetml/2006/main" count="276" uniqueCount="117">
  <si>
    <t>Brand</t>
  </si>
  <si>
    <t>SKU</t>
  </si>
  <si>
    <t>Product</t>
  </si>
  <si>
    <t>Category</t>
  </si>
  <si>
    <t>Size</t>
  </si>
  <si>
    <t>Unit Price</t>
  </si>
  <si>
    <t>UrbanWear</t>
  </si>
  <si>
    <t>UW-TS-001</t>
  </si>
  <si>
    <t>Classic T-Shirt</t>
  </si>
  <si>
    <t>Men</t>
  </si>
  <si>
    <t>M</t>
  </si>
  <si>
    <t>UW-TS-002</t>
  </si>
  <si>
    <t>L</t>
  </si>
  <si>
    <t>UW-JN-001</t>
  </si>
  <si>
    <t>Slim Jeans</t>
  </si>
  <si>
    <t>StyleNest</t>
  </si>
  <si>
    <t>SN-DR-001</t>
  </si>
  <si>
    <t>Summer Dress</t>
  </si>
  <si>
    <t>Women</t>
  </si>
  <si>
    <t>SN-DR-002</t>
  </si>
  <si>
    <t>TrendAura</t>
  </si>
  <si>
    <t>TA-SH-001</t>
  </si>
  <si>
    <t>Casual Shirt</t>
  </si>
  <si>
    <t>TA-SH-002</t>
  </si>
  <si>
    <t>TA-SN-001</t>
  </si>
  <si>
    <t>Sneakers</t>
  </si>
  <si>
    <t>Footwear</t>
  </si>
  <si>
    <t>UW-HO-001</t>
  </si>
  <si>
    <t>Hoodie</t>
  </si>
  <si>
    <t>SN-TP-001</t>
  </si>
  <si>
    <t>Crop Top</t>
  </si>
  <si>
    <t>Current Stock</t>
  </si>
  <si>
    <t>Reorder Level</t>
  </si>
  <si>
    <t>Target Stock</t>
  </si>
  <si>
    <t>REORDER QUANTITY</t>
  </si>
  <si>
    <t>REORDER REQUIRED?</t>
  </si>
  <si>
    <t>PO ID</t>
  </si>
  <si>
    <t>Qty</t>
  </si>
  <si>
    <t>Status</t>
  </si>
  <si>
    <t>PO1001</t>
  </si>
  <si>
    <t>Created</t>
  </si>
  <si>
    <t>PO1002</t>
  </si>
  <si>
    <t>PO1003</t>
  </si>
  <si>
    <t>Line Totals</t>
  </si>
  <si>
    <t>PO Date</t>
  </si>
  <si>
    <t>Expected Delivery</t>
  </si>
  <si>
    <t>Actual Delivery</t>
  </si>
  <si>
    <t>PO Status</t>
  </si>
  <si>
    <t>Delivered</t>
  </si>
  <si>
    <t>In Transit</t>
  </si>
  <si>
    <t>TAT</t>
  </si>
  <si>
    <t>TAT Status</t>
  </si>
  <si>
    <t>PO1004</t>
  </si>
  <si>
    <t>PO1005</t>
  </si>
  <si>
    <t>Confirmed</t>
  </si>
  <si>
    <t>PO1006</t>
  </si>
  <si>
    <t>PO1007</t>
  </si>
  <si>
    <t>PO1008</t>
  </si>
  <si>
    <t>Issue ID</t>
  </si>
  <si>
    <t>Issue Type</t>
  </si>
  <si>
    <t>Issue Description</t>
  </si>
  <si>
    <t>Stakeholder</t>
  </si>
  <si>
    <t>Action Required</t>
  </si>
  <si>
    <t>Action Owner</t>
  </si>
  <si>
    <t>Issue Status</t>
  </si>
  <si>
    <t>Target Resolution</t>
  </si>
  <si>
    <t>ISS001</t>
  </si>
  <si>
    <t>Delivery Delay</t>
  </si>
  <si>
    <t>Shipment received after expected date</t>
  </si>
  <si>
    <t>Vendor</t>
  </si>
  <si>
    <t>Confirm reason for delay and revised timeline</t>
  </si>
  <si>
    <t>Operations</t>
  </si>
  <si>
    <t>Open</t>
  </si>
  <si>
    <t>ISS002</t>
  </si>
  <si>
    <t>Pending Delivery</t>
  </si>
  <si>
    <t>Shipment has not been delivered yet</t>
  </si>
  <si>
    <t>Vendor/Logistics</t>
  </si>
  <si>
    <t>Request latest shipment status</t>
  </si>
  <si>
    <t>ISS003</t>
  </si>
  <si>
    <t>PO Confirmation</t>
  </si>
  <si>
    <t>Vendor confirmation pending</t>
  </si>
  <si>
    <t>Follow up for PO confirmation</t>
  </si>
  <si>
    <t>ISS004</t>
  </si>
  <si>
    <t>Delivery Tracking</t>
  </si>
  <si>
    <t>Shipment currently in transit</t>
  </si>
  <si>
    <t>Logistics</t>
  </si>
  <si>
    <t>Monitor expected delivery</t>
  </si>
  <si>
    <t>Monitoring</t>
  </si>
  <si>
    <t>Row Labels</t>
  </si>
  <si>
    <t>Grand Total</t>
  </si>
  <si>
    <t>Sum of Line Totals</t>
  </si>
  <si>
    <t>Count of PO ID</t>
  </si>
  <si>
    <t>Delayed</t>
  </si>
  <si>
    <t>Pending</t>
  </si>
  <si>
    <t>Within TAT</t>
  </si>
  <si>
    <t>Count of Issue ID</t>
  </si>
  <si>
    <t>Fashion Brand PO Operations Dashboard</t>
  </si>
  <si>
    <t>Total POs</t>
  </si>
  <si>
    <t>Total PO Value</t>
  </si>
  <si>
    <t>Delivered POs</t>
  </si>
  <si>
    <t>Open Issues</t>
  </si>
  <si>
    <t>KPIs</t>
  </si>
  <si>
    <t>Delayed POs</t>
  </si>
  <si>
    <t>Results</t>
  </si>
  <si>
    <t>Last Updated : 22 September 2026</t>
  </si>
  <si>
    <t>ISS005</t>
  </si>
  <si>
    <t>Vendor confirmed revised delivery date of 3/10/2026</t>
  </si>
  <si>
    <t>Monitor shipment and confirm delivery on revised date</t>
  </si>
  <si>
    <t>ISS006</t>
  </si>
  <si>
    <t>Quantity Mismatch</t>
  </si>
  <si>
    <t>Warehouse received 60 units against 65 units ordered</t>
  </si>
  <si>
    <t>Vendor/Warehouse</t>
  </si>
  <si>
    <t>Verify shortage with vendor and confirm whether the remaining 5 will be delivered</t>
  </si>
  <si>
    <t>ISS007</t>
  </si>
  <si>
    <t>Incorrect SKU</t>
  </si>
  <si>
    <t>Received SKU SN-DR-002 instead of ordered SKU SN-DR-001</t>
  </si>
  <si>
    <t>Verify shipment details and arrange replacement/correction for incorrect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</si>
</sst>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6" fontId="0" fillId="0" borderId="0" xfId="0" applyNumberFormat="1"/>
    <xf numFmtId="1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31">
    <dxf>
      <numFmt numFmtId="164" formatCode="&quot;₹&quot;\ #,##0.00"/>
    </dxf>
    <dxf>
      <numFmt numFmtId="164" formatCode="&quot;₹&quot;\ #,##0.0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20" formatCode="dd/mmm/yy"/>
    </dxf>
    <dxf>
      <numFmt numFmtId="0" formatCode="General"/>
    </dxf>
    <dxf>
      <numFmt numFmtId="0" formatCode="General"/>
    </dxf>
    <dxf>
      <numFmt numFmtId="20" formatCode="dd/mmm/yy"/>
    </dxf>
    <dxf>
      <numFmt numFmtId="20" formatCode="dd/mmm/yy"/>
    </dxf>
    <dxf>
      <numFmt numFmtId="10" formatCode="&quot;₹&quot;\ #,##0;[Red]&quot;₹&quot;\ \-#,##0"/>
    </dxf>
    <dxf>
      <numFmt numFmtId="10" formatCode="&quot;₹&quot;\ #,##0;[Red]&quot;₹&quot;\ \-#,##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[Fashion_Brand_PO_Operations_Tracker.xlsx]ANALYSIS!PivotTable1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 Value</a:t>
            </a:r>
            <a:r>
              <a:rPr lang="en-US" baseline="0"/>
              <a:t> by Brand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ANALYSIS!$A$4:$A$7</c:f>
              <c:strCache>
                <c:ptCount val="3"/>
                <c:pt idx="0">
                  <c:v>StyleNest</c:v>
                </c:pt>
                <c:pt idx="1">
                  <c:v>TrendAura</c:v>
                </c:pt>
                <c:pt idx="2">
                  <c:v>UrbanWear</c:v>
                </c:pt>
              </c:strCache>
            </c:strRef>
          </c:cat>
          <c:val>
            <c:numRef>
              <c:f>ANALYSIS!$B$4:$B$7</c:f>
              <c:numCache>
                <c:formatCode>"₹"\ #,##0.00</c:formatCode>
                <c:ptCount val="3"/>
                <c:pt idx="0">
                  <c:v>136272</c:v>
                </c:pt>
                <c:pt idx="1">
                  <c:v>160887</c:v>
                </c:pt>
                <c:pt idx="2">
                  <c:v>156858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B-49B1-92E7-55B91A297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6899711"/>
        <c:axId val="689515327"/>
      </c:barChart>
      <c:catAx>
        <c:axId val="57689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515327"/>
        <c:crosses val="autoZero"/>
        <c:auto val="1"/>
        <c:lblAlgn val="ctr"/>
        <c:lblOffset val="100"/>
        <c:noMultiLvlLbl val="0"/>
      </c:catAx>
      <c:valAx>
        <c:axId val="68951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89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[Fashion_Brand_PO_Operations_Tracker.xlsx]ANALYSIS!PivotTable2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 Status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ANALYSIS!$D$4:$D$7</c:f>
              <c:strCache>
                <c:ptCount val="3"/>
                <c:pt idx="0">
                  <c:v>Confirmed</c:v>
                </c:pt>
                <c:pt idx="1">
                  <c:v>Delivered</c:v>
                </c:pt>
                <c:pt idx="2">
                  <c:v>In Transit</c:v>
                </c:pt>
              </c:strCache>
            </c:strRef>
          </c:cat>
          <c:val>
            <c:numRef>
              <c:f>ANALYSIS!$E$4:$E$7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A-40E0-8B0C-2EE4AF249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6900911"/>
        <c:axId val="689519487"/>
      </c:barChart>
      <c:catAx>
        <c:axId val="57690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519487"/>
        <c:crosses val="autoZero"/>
        <c:auto val="1"/>
        <c:lblAlgn val="ctr"/>
        <c:lblOffset val="100"/>
        <c:noMultiLvlLbl val="0"/>
      </c:catAx>
      <c:valAx>
        <c:axId val="68951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90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[Fashion_Brand_PO_Operations_Tracker.xlsx]ANALYSIS!PivotTable3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ANALYSIS!$G$4:$G$7</c:f>
              <c:strCache>
                <c:ptCount val="3"/>
                <c:pt idx="0">
                  <c:v>Delayed</c:v>
                </c:pt>
                <c:pt idx="1">
                  <c:v>Pending</c:v>
                </c:pt>
                <c:pt idx="2">
                  <c:v>Within TAT</c:v>
                </c:pt>
              </c:strCache>
            </c:strRef>
          </c:cat>
          <c:val>
            <c:numRef>
              <c:f>ANALYSIS!$H$4:$H$7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8-4048-B847-7FF947F58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306079"/>
        <c:axId val="689519903"/>
      </c:barChart>
      <c:catAx>
        <c:axId val="68330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519903"/>
        <c:crosses val="autoZero"/>
        <c:auto val="1"/>
        <c:lblAlgn val="ctr"/>
        <c:lblOffset val="100"/>
        <c:noMultiLvlLbl val="0"/>
      </c:catAx>
      <c:valAx>
        <c:axId val="68951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0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[Fashion_Brand_PO_Operations_Tracker.xlsx]ANALYSIS!PivotTable4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Operational Issues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ANALYSIS!$J$4:$J$10</c:f>
              <c:strCache>
                <c:ptCount val="6"/>
                <c:pt idx="0">
                  <c:v>Delivery Delay</c:v>
                </c:pt>
                <c:pt idx="1">
                  <c:v>Delivery Tracking</c:v>
                </c:pt>
                <c:pt idx="2">
                  <c:v>Pending Delivery</c:v>
                </c:pt>
                <c:pt idx="3">
                  <c:v>PO Confirmation</c:v>
                </c:pt>
                <c:pt idx="4">
                  <c:v>Quantity Mismatch</c:v>
                </c:pt>
                <c:pt idx="5">
                  <c:v>Incorrect SKU</c:v>
                </c:pt>
              </c:strCache>
            </c:strRef>
          </c:cat>
          <c:val>
            <c:numRef>
              <c:f>ANALYSIS!$K$4:$K$10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A-420B-901A-87F8A058A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956799"/>
        <c:axId val="722388447"/>
      </c:barChart>
      <c:catAx>
        <c:axId val="69095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388447"/>
        <c:crosses val="autoZero"/>
        <c:auto val="1"/>
        <c:lblAlgn val="ctr"/>
        <c:lblOffset val="100"/>
        <c:noMultiLvlLbl val="0"/>
      </c:catAx>
      <c:valAx>
        <c:axId val="72238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5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374650</xdr:colOff>
      <xdr:row>2</xdr:row>
      <xdr:rowOff>12700</xdr:rowOff>
    </xdr:from>
    <xdr:to>
      <xdr:col>6</xdr:col>
      <xdr:colOff>222250</xdr:colOff>
      <xdr:row>18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FF3FED-7B30-47DF-BCD0-D37C954CE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11</xdr:col>
      <xdr:colOff>190500</xdr:colOff>
      <xdr:row>17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1AAE5C-BC6F-44CD-B88E-56B307FA8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16</xdr:col>
      <xdr:colOff>571500</xdr:colOff>
      <xdr:row>17</xdr:row>
      <xdr:rowOff>21771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189500-E25F-4224-82B2-700F0D4E0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607482</xdr:colOff>
      <xdr:row>2</xdr:row>
      <xdr:rowOff>0</xdr:rowOff>
    </xdr:from>
    <xdr:to>
      <xdr:col>25</xdr:col>
      <xdr:colOff>476250</xdr:colOff>
      <xdr:row>19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F63F99-07A2-4561-A93F-40D29349A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euditi G" refreshedDate="46287.520471643518" createdVersion="6" refreshedVersion="6" minRefreshableVersion="3" recordCount="7" xr:uid="{F24209F8-3126-4799-9E1D-9049F8D332C4}">
  <cacheSource type="worksheet">
    <worksheetSource name="Table5"/>
  </cacheSource>
  <cacheFields count="10">
    <cacheField name="Issue ID" numFmtId="0">
      <sharedItems/>
    </cacheField>
    <cacheField name="PO ID" numFmtId="0">
      <sharedItems/>
    </cacheField>
    <cacheField name="Brand" numFmtId="0">
      <sharedItems/>
    </cacheField>
    <cacheField name="Issue Type" numFmtId="0">
      <sharedItems count="6">
        <s v="Delivery Delay"/>
        <s v="Pending Delivery"/>
        <s v="PO Confirmation"/>
        <s v="Delivery Tracking"/>
        <s v="Quantity Mismatch"/>
        <s v="Incorrect SKU"/>
      </sharedItems>
    </cacheField>
    <cacheField name="Issue Description" numFmtId="0">
      <sharedItems/>
    </cacheField>
    <cacheField name="Stakeholder" numFmtId="0">
      <sharedItems/>
    </cacheField>
    <cacheField name="Action Required" numFmtId="0">
      <sharedItems/>
    </cacheField>
    <cacheField name="Action Owner" numFmtId="0">
      <sharedItems/>
    </cacheField>
    <cacheField name="Issue Status" numFmtId="0">
      <sharedItems count="2">
        <s v="Open"/>
        <s v="Monitoring"/>
      </sharedItems>
    </cacheField>
    <cacheField name="Target Resolution" numFmtId="15">
      <sharedItems containsSemiMixedTypes="0" containsNonDate="0" containsDate="1" containsString="0" minDate="2026-09-25T00:00:00" maxDate="2026-10-0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euditi G" refreshedDate="46287.520471875003" createdVersion="6" refreshedVersion="6" minRefreshableVersion="3" recordCount="8" xr:uid="{EE0880CA-9112-476C-A0AF-384947726B14}">
  <cacheSource type="worksheet">
    <worksheetSource name="Table4"/>
  </cacheSource>
  <cacheFields count="8">
    <cacheField name="PO ID" numFmtId="0">
      <sharedItems/>
    </cacheField>
    <cacheField name="Brand" numFmtId="0">
      <sharedItems/>
    </cacheField>
    <cacheField name="PO Date" numFmtId="15">
      <sharedItems containsSemiMixedTypes="0" containsNonDate="0" containsDate="1" containsString="0" minDate="2026-09-21T00:00:00" maxDate="2026-09-25T00:00:00"/>
    </cacheField>
    <cacheField name="Expected Delivery" numFmtId="15">
      <sharedItems containsSemiMixedTypes="0" containsNonDate="0" containsDate="1" containsString="0" minDate="2026-09-28T00:00:00" maxDate="2026-10-04T00:00:00"/>
    </cacheField>
    <cacheField name="Actual Delivery" numFmtId="0">
      <sharedItems containsNonDate="0" containsDate="1" containsString="0" containsBlank="1" minDate="2026-09-27T00:00:00" maxDate="2026-10-05T00:00:00"/>
    </cacheField>
    <cacheField name="PO Status" numFmtId="0">
      <sharedItems count="3">
        <s v="Delivered"/>
        <s v="In Transit"/>
        <s v="Confirmed"/>
      </sharedItems>
    </cacheField>
    <cacheField name="TAT Status" numFmtId="0">
      <sharedItems count="3">
        <s v="Within TAT"/>
        <s v="Delayed"/>
        <s v="Pending"/>
      </sharedItems>
    </cacheField>
    <cacheField name="TAT" numFmtId="0">
      <sharedItems containsMixedTypes="1" containsNumber="1" containsInteger="1" minValue="6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euditi G" refreshedDate="46287.520472222219" createdVersion="6" refreshedVersion="6" minRefreshableVersion="3" recordCount="6" xr:uid="{24A944A9-FDA2-4BF1-AA1F-ABF1BC136D11}">
  <cacheSource type="worksheet">
    <worksheetSource name="Table3"/>
  </cacheSource>
  <cacheFields count="8">
    <cacheField name="PO ID" numFmtId="0">
      <sharedItems/>
    </cacheField>
    <cacheField name="Brand" numFmtId="0">
      <sharedItems count="3">
        <s v="UrbanWear"/>
        <s v="StyleNest"/>
        <s v="TrendAura"/>
      </sharedItems>
    </cacheField>
    <cacheField name="SKU" numFmtId="0">
      <sharedItems/>
    </cacheField>
    <cacheField name="Product" numFmtId="0">
      <sharedItems/>
    </cacheField>
    <cacheField name="Qty" numFmtId="0">
      <sharedItems containsSemiMixedTypes="0" containsString="0" containsNumber="1" containsInteger="1" minValue="48" maxValue="80"/>
    </cacheField>
    <cacheField name="Unit Price" numFmtId="6">
      <sharedItems containsSemiMixedTypes="0" containsString="0" containsNumber="1" containsInteger="1" minValue="699" maxValue="1999"/>
    </cacheField>
    <cacheField name="Line Totals" numFmtId="6">
      <sharedItems containsSemiMixedTypes="0" containsString="0" containsNumber="1" containsInteger="1" minValue="34950" maxValue="101322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ISS001"/>
    <s v="PO1002"/>
    <s v="StyleNest"/>
    <x v="0"/>
    <s v="Shipment received after expected date"/>
    <s v="Vendor"/>
    <s v="Confirm reason for delay and revised timeline"/>
    <s v="Operations"/>
    <x v="0"/>
    <d v="2026-10-01T00:00:00"/>
  </r>
  <r>
    <s v="ISS002"/>
    <s v="PO1003"/>
    <s v="TrendAura"/>
    <x v="1"/>
    <s v="Shipment has not been delivered yet"/>
    <s v="Vendor/Logistics"/>
    <s v="Request latest shipment status"/>
    <s v="Operations"/>
    <x v="0"/>
    <d v="2026-09-29T00:00:00"/>
  </r>
  <r>
    <s v="ISS003"/>
    <s v="PO1005"/>
    <s v="StyleNest"/>
    <x v="2"/>
    <s v="Vendor confirmation pending"/>
    <s v="Vendor"/>
    <s v="Follow up for PO confirmation"/>
    <s v="Operations"/>
    <x v="0"/>
    <d v="2026-09-25T00:00:00"/>
  </r>
  <r>
    <s v="ISS004"/>
    <s v="PO1006"/>
    <s v="TrendAura"/>
    <x v="3"/>
    <s v="Shipment currently in transit"/>
    <s v="Logistics"/>
    <s v="Monitor expected delivery"/>
    <s v="Operations"/>
    <x v="1"/>
    <d v="2026-10-01T00:00:00"/>
  </r>
  <r>
    <s v="ISS005"/>
    <s v="PO1005"/>
    <s v="StyleNest"/>
    <x v="0"/>
    <s v="Vendor confirmed revised delivery date of 3/10/2026"/>
    <s v="Vendor"/>
    <s v="Monitor shipment and confirm delivery on revised date"/>
    <s v="Operations"/>
    <x v="1"/>
    <d v="2026-09-30T00:00:00"/>
  </r>
  <r>
    <s v="ISS006"/>
    <s v="PO1003"/>
    <s v="TrendAura"/>
    <x v="4"/>
    <s v="Warehouse received 60 units against 65 units ordered"/>
    <s v="Vendor/Warehouse"/>
    <s v="Verify shortage with vendor and confirm whether the remaining 5 will be delivered"/>
    <s v="Operations"/>
    <x v="0"/>
    <d v="2026-09-30T00:00:00"/>
  </r>
  <r>
    <s v="ISS007"/>
    <s v="PO1002"/>
    <s v="StyleNest"/>
    <x v="5"/>
    <s v="Received SKU SN-DR-002 instead of ordered SKU SN-DR-001"/>
    <s v="Vendor/Warehouse"/>
    <s v="Verify shipment details and arrange replacement/correction for incorrect SKU"/>
    <s v="Operations"/>
    <x v="0"/>
    <d v="2026-10-02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PO1001"/>
    <s v="UrbanWear"/>
    <d v="2026-09-21T00:00:00"/>
    <d v="2026-09-28T00:00:00"/>
    <d v="2026-09-27T00:00:00"/>
    <x v="0"/>
    <x v="0"/>
    <n v="6"/>
  </r>
  <r>
    <s v="PO1002"/>
    <s v="StyleNest"/>
    <d v="2026-09-21T00:00:00"/>
    <d v="2026-09-28T00:00:00"/>
    <d v="2026-09-30T00:00:00"/>
    <x v="0"/>
    <x v="1"/>
    <n v="9"/>
  </r>
  <r>
    <s v="PO1003"/>
    <s v="TrendAura"/>
    <d v="2026-09-21T00:00:00"/>
    <d v="2026-09-28T00:00:00"/>
    <m/>
    <x v="1"/>
    <x v="2"/>
    <s v=""/>
  </r>
  <r>
    <s v="PO1004"/>
    <s v="UrbanWear"/>
    <d v="2026-09-22T00:00:00"/>
    <d v="2026-09-29T00:00:00"/>
    <d v="2026-09-29T00:00:00"/>
    <x v="0"/>
    <x v="0"/>
    <n v="7"/>
  </r>
  <r>
    <s v="PO1005"/>
    <s v="StyleNest"/>
    <d v="2026-09-22T00:00:00"/>
    <d v="2026-10-03T00:00:00"/>
    <m/>
    <x v="2"/>
    <x v="2"/>
    <s v=""/>
  </r>
  <r>
    <s v="PO1006"/>
    <s v="TrendAura"/>
    <d v="2026-09-23T00:00:00"/>
    <d v="2026-10-01T00:00:00"/>
    <m/>
    <x v="1"/>
    <x v="2"/>
    <s v=""/>
  </r>
  <r>
    <s v="PO1007"/>
    <s v="UrbanWear"/>
    <d v="2026-09-23T00:00:00"/>
    <d v="2026-10-01T00:00:00"/>
    <d v="2026-09-30T00:00:00"/>
    <x v="0"/>
    <x v="0"/>
    <n v="7"/>
  </r>
  <r>
    <s v="PO1008"/>
    <s v="StyleNest"/>
    <d v="2026-09-24T00:00:00"/>
    <d v="2026-10-02T00:00:00"/>
    <d v="2026-10-04T00:00:00"/>
    <x v="0"/>
    <x v="1"/>
    <n v="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PO1001"/>
    <x v="0"/>
    <s v="UW-TS-001"/>
    <s v="Classic T-Shirt"/>
    <n v="80"/>
    <n v="799"/>
    <n v="63920"/>
    <s v="Created"/>
  </r>
  <r>
    <s v="PO1001"/>
    <x v="0"/>
    <s v="UW-JN-001"/>
    <s v="Slim Jeans"/>
    <n v="62"/>
    <n v="1499"/>
    <n v="92938"/>
    <s v="Created"/>
  </r>
  <r>
    <s v="PO1002"/>
    <x v="1"/>
    <s v="SN-DR-001"/>
    <s v="Summer Dress"/>
    <n v="78"/>
    <n v="1299"/>
    <n v="101322"/>
    <s v="Created"/>
  </r>
  <r>
    <s v="PO1002"/>
    <x v="1"/>
    <s v="SN-TP-001"/>
    <s v="Crop Top"/>
    <n v="50"/>
    <n v="699"/>
    <n v="34950"/>
    <s v="Created"/>
  </r>
  <r>
    <s v="PO1003"/>
    <x v="2"/>
    <s v="TA-SH-001"/>
    <s v="Casual Shirt"/>
    <n v="65"/>
    <n v="999"/>
    <n v="64935"/>
    <s v="Created"/>
  </r>
  <r>
    <s v="PO1003"/>
    <x v="2"/>
    <s v="TA-SN-001"/>
    <s v="Sneakers"/>
    <n v="48"/>
    <n v="1999"/>
    <n v="95952"/>
    <s v="Crea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DC765-951B-40B3-855F-C597FDB607BA}" name="PivotTable2" cacheId="10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D3:E7" firstHeaderRow="1" firstDataRow="1" firstDataCol="1"/>
  <pivotFields count="8">
    <pivotField dataField="1" showAll="0"/>
    <pivotField showAll="0"/>
    <pivotField numFmtId="15" showAll="0"/>
    <pivotField numFmtId="15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O 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A0BC8-1249-47D0-A4DD-76F549FC8D4F}" name="PivotTable1" cacheId="10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7" firstHeaderRow="1" firstDataRow="1" firstDataCol="1"/>
  <pivotFields count="8"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6" showAll="0"/>
    <pivotField dataField="1" numFmtId="6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Line Totals" fld="6" baseField="0" baseItem="0" numFmtId="164"/>
  </dataFields>
  <formats count="2">
    <format dxfId="21">
      <pivotArea outline="0" collapsedLevelsAreSubtotals="1" fieldPosition="0"/>
    </format>
    <format dxfId="20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8384F-E862-4FA8-B8F6-5300CB8593DE}" name="PivotTable5" cacheId="9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0:H13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15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Issu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09C1F-8797-4C83-B137-9451054F9A95}" name="PivotTable4" cacheId="9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J3:K10" firstHeaderRow="1" firstDataRow="1" firstDataCol="1"/>
  <pivotFields count="10">
    <pivotField dataField="1" showAll="0"/>
    <pivotField showAll="0"/>
    <pivotField showAll="0"/>
    <pivotField axis="axisRow" showAll="0">
      <items count="7">
        <item x="0"/>
        <item x="3"/>
        <item x="1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numFmtId="15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ssue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74309-70B0-4598-B6AC-7B2B06C13CC1}" name="PivotTable3" cacheId="10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G3:H7" firstHeaderRow="1" firstDataRow="1" firstDataCol="1"/>
  <pivotFields count="8">
    <pivotField dataField="1" showAll="0"/>
    <pivotField showAll="0"/>
    <pivotField numFmtId="15" showAll="0"/>
    <pivotField numFmtId="15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O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0D423-FA64-432C-8419-2C2FE1D44BAB}" name="Table1" displayName="Table1" ref="A1:F11" totalsRowShown="0">
  <autoFilter ref="A1:F11" xr:uid="{01311F4A-09C9-44DF-B970-8B487F8AD6CF}"/>
  <tableColumns count="6">
    <tableColumn id="1" xr3:uid="{E47CB608-23AC-4D62-A0A5-30BF3CD0DEC9}" name="Brand"/>
    <tableColumn id="2" xr3:uid="{66F3CA46-5AC4-4301-BA77-0D028313FA08}" name="SKU"/>
    <tableColumn id="3" xr3:uid="{87F12362-6AD5-4D4E-B236-7302D1D11DA3}" name="Product"/>
    <tableColumn id="4" xr3:uid="{72C3F847-F007-4BFD-8CC9-0DA235FC54E1}" name="Category"/>
    <tableColumn id="5" xr3:uid="{A4443607-4E99-464E-AC44-26BC437AD5BB}" name="Size"/>
    <tableColumn id="6" xr3:uid="{6B7B107D-08DD-4072-9532-AE85D43538A5}" name="Unit Price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D19DE9-203A-4708-BC18-0C60EED5AF6F}" name="Table2" displayName="Table2" ref="A1:H11" totalsRowShown="0">
  <autoFilter ref="A1:H11" xr:uid="{63E508A7-2D10-42B8-B7A7-2AC8399D86DF}"/>
  <tableColumns count="8">
    <tableColumn id="1" xr3:uid="{B37BD267-4CC9-4AEE-B007-AAEBBD116C0B}" name="SKU"/>
    <tableColumn id="2" xr3:uid="{866E071D-B8B9-4803-B223-A2B8FF4A3A14}" name="Product"/>
    <tableColumn id="3" xr3:uid="{B4362381-B80F-4E53-8D14-EF029E4A39EB}" name="Brand"/>
    <tableColumn id="4" xr3:uid="{3122EFB5-A9BD-43C4-B0F0-80CC9CEE8861}" name="Current Stock"/>
    <tableColumn id="5" xr3:uid="{8093484E-2639-4711-A8E2-326FB9702EF2}" name="Reorder Level"/>
    <tableColumn id="6" xr3:uid="{37367780-950E-48DA-8198-83BF5390ABD2}" name="Target Stock"/>
    <tableColumn id="7" xr3:uid="{68C8C082-EBBC-4D0C-848B-F65DD5ADB473}" name="REORDER QUANTITY" dataDxfId="30">
      <calculatedColumnFormula>IF(Table2[[#This Row],[Current Stock]]&lt;Table2[[#This Row],[Reorder Level]],Table2[[#This Row],[Target Stock]]-Table2[[#This Row],[Current Stock]],0)</calculatedColumnFormula>
    </tableColumn>
    <tableColumn id="8" xr3:uid="{A1192DA7-7D76-4914-9EE1-5215B434667C}" name="REORDER REQUIRED?" dataDxfId="29">
      <calculatedColumnFormula>IF(Table2[[#This Row],[Current Stock]]&lt;Table2[[#This Row],[Reorder Level]],"YES","NO")</calculatedColumnFormula>
    </tableColumn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D76CAF-C807-48D2-B914-37C7F60181AC}" name="Table3" displayName="Table3" ref="A1:H7" totalsRowShown="0">
  <autoFilter ref="A1:H7" xr:uid="{9C1D0C4B-2EB9-4BBE-A4C7-759BCB681093}"/>
  <tableColumns count="8">
    <tableColumn id="1" xr3:uid="{6E569476-C36A-4C5B-A5E1-F7AFF466CAEF}" name="PO ID"/>
    <tableColumn id="2" xr3:uid="{0898ADF3-BCB2-4891-9255-F568EEBB3F05}" name="Brand"/>
    <tableColumn id="3" xr3:uid="{17A7B511-6835-4573-B4AD-9DEC66573ACA}" name="SKU"/>
    <tableColumn id="4" xr3:uid="{28C11BA6-8606-461C-84C6-3831C6E0E29D}" name="Product"/>
    <tableColumn id="5" xr3:uid="{407CA515-DDA9-4402-A8C6-B232950B3F37}" name="Qty"/>
    <tableColumn id="6" xr3:uid="{7EA4F7C9-551B-4553-9FB8-CC2FCB1A1A6E}" name="Unit Price" dataDxfId="28"/>
    <tableColumn id="8" xr3:uid="{C8F39262-EAA4-404A-8CD1-DDD67BC73F71}" name="Line Totals" dataDxfId="27">
      <calculatedColumnFormula>Table3[[#This Row],[Unit Price]]*Table3[[#This Row],[Qty]]</calculatedColumnFormula>
    </tableColumn>
    <tableColumn id="7" xr3:uid="{B287F7C3-14CA-410A-B310-35C63796F4C7}" name="Status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5EA55D-B3E2-49E8-ACE2-F8028D569D56}" name="Table4" displayName="Table4" ref="A1:H9" totalsRowShown="0">
  <autoFilter ref="A1:H9" xr:uid="{EC33A35D-FBC2-4920-ACC5-8719BCD99135}"/>
  <tableColumns count="8">
    <tableColumn id="1" xr3:uid="{55896FB1-CDC0-4919-8499-3B7D70A845AD}" name="PO ID"/>
    <tableColumn id="2" xr3:uid="{08FAE5D9-BE0F-45A3-930A-544A57340C8F}" name="Brand"/>
    <tableColumn id="3" xr3:uid="{9E8583F9-5326-49A1-9F3F-3ED38D196083}" name="PO Date" dataDxfId="26"/>
    <tableColumn id="4" xr3:uid="{C48A28CE-4378-4A91-8624-AB39609F44DE}" name="Expected Delivery" dataDxfId="25"/>
    <tableColumn id="5" xr3:uid="{EFB6ABF4-01C5-4D16-A3CA-710E0892FDC8}" name="Actual Delivery"/>
    <tableColumn id="6" xr3:uid="{A4A88CCC-33AB-48E8-8A5B-3511C795C02C}" name="PO Status"/>
    <tableColumn id="8" xr3:uid="{5D2D7E4E-E7C9-4ABC-B62A-27B5D6F5FCAF}" name="TAT Status" dataDxfId="24">
      <calculatedColumnFormula>IF(Table4[[#This Row],[Actual Delivery]]="","Pending",IF(Table4[[#This Row],[Actual Delivery]]&lt;=Table4[[#This Row],[Expected Delivery]],"Within TAT","Delayed"))</calculatedColumnFormula>
    </tableColumn>
    <tableColumn id="7" xr3:uid="{CD5BABBD-46F1-49A5-9926-7C9E121E0A8C}" name="TAT" dataDxfId="23">
      <calculatedColumnFormula>IF(Table4[[#This Row],[Actual Delivery]]="", "", Table4[[#This Row],[Actual Delivery]]-Table4[[#This Row],[PO Date]])</calculatedColumnFormula>
    </tableColumn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A3540A-482F-4985-BC24-90F58B1B2129}" name="Table5" displayName="Table5" ref="A1:J8" totalsRowShown="0">
  <autoFilter ref="A1:J8" xr:uid="{A148914C-2A10-4524-B2B1-065B49BC6E63}"/>
  <tableColumns count="10">
    <tableColumn id="1" xr3:uid="{0328022F-C4D5-4013-B34A-D808C80D629A}" name="Issue ID"/>
    <tableColumn id="2" xr3:uid="{90AC7688-B43E-44B1-A40D-6932BD10DC47}" name="PO ID"/>
    <tableColumn id="3" xr3:uid="{4573ED45-1455-430C-A37F-617420ED91D4}" name="Brand"/>
    <tableColumn id="4" xr3:uid="{37698565-FDE4-4BF0-B0E4-5E1BBA907E24}" name="Issue Type"/>
    <tableColumn id="5" xr3:uid="{023B60B3-5258-4743-9DCC-5EBEE65D1101}" name="Issue Description"/>
    <tableColumn id="6" xr3:uid="{7DB40BFF-B8C7-4CFD-91D8-C91D4B5AF789}" name="Stakeholder"/>
    <tableColumn id="7" xr3:uid="{62D9ED75-6AD0-41F0-8CE4-1EA8B0683FD2}" name="Action Required"/>
    <tableColumn id="8" xr3:uid="{8C626DD1-AD8B-4336-91DB-D373A5E3592D}" name="Action Owner"/>
    <tableColumn id="9" xr3:uid="{F17A7741-52AC-4049-8E80-10FA858B2829}" name="Issue Status"/>
    <tableColumn id="10" xr3:uid="{0B13489A-C6FD-4FDC-ACF2-0D308C67898F}" name="Target Resolution" dataDxfId="22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A25E06-1813-4E00-B5BF-375B1A924652}" name="Table7" displayName="Table7" ref="A3:B8" totalsRowShown="0">
  <autoFilter ref="A3:B8" xr:uid="{B4252FBB-AAEA-41D9-8AA3-1D840B408C6C}"/>
  <tableColumns count="2">
    <tableColumn id="1" xr3:uid="{FD110A8E-D582-4025-B8EA-D3E749AF70D7}" name="KPIs"/>
    <tableColumn id="2" xr3:uid="{C7D7B669-0A5D-41CD-96FE-F0E3A7490F51}" name="Result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63ED-E7FE-46D9-8452-BB06AB89C928}">
  <dimension ref="A1:F11"/>
  <sheetViews>
    <sheetView zoomScaleNormal="100" workbookViewId="0">
      <selection activeCell="H10" sqref="H10"/>
    </sheetView>
  </sheetViews>
  <sheetFormatPr defaultRowHeight="14.5" x14ac:dyDescent="0.35"/>
  <cols>
    <col min="1" max="1" width="10.7265625" bestFit="1" customWidth="1"/>
    <col min="2" max="2" width="10.81640625" bestFit="1" customWidth="1"/>
    <col min="3" max="3" width="13" bestFit="1" customWidth="1"/>
    <col min="4" max="4" width="10.26953125" customWidth="1"/>
    <col min="5" max="5" width="6.08984375" customWidth="1"/>
    <col min="6" max="6" width="1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799</v>
      </c>
    </row>
    <row r="3" spans="1:6" x14ac:dyDescent="0.35">
      <c r="A3" t="s">
        <v>6</v>
      </c>
      <c r="B3" t="s">
        <v>11</v>
      </c>
      <c r="C3" t="s">
        <v>8</v>
      </c>
      <c r="D3" t="s">
        <v>9</v>
      </c>
      <c r="E3" t="s">
        <v>12</v>
      </c>
      <c r="F3">
        <v>799</v>
      </c>
    </row>
    <row r="4" spans="1:6" x14ac:dyDescent="0.35">
      <c r="A4" t="s">
        <v>6</v>
      </c>
      <c r="B4" t="s">
        <v>13</v>
      </c>
      <c r="C4" t="s">
        <v>14</v>
      </c>
      <c r="D4" t="s">
        <v>9</v>
      </c>
      <c r="E4">
        <v>32</v>
      </c>
      <c r="F4">
        <v>1499</v>
      </c>
    </row>
    <row r="5" spans="1:6" x14ac:dyDescent="0.35">
      <c r="A5" t="s">
        <v>15</v>
      </c>
      <c r="B5" t="s">
        <v>16</v>
      </c>
      <c r="C5" t="s">
        <v>17</v>
      </c>
      <c r="D5" t="s">
        <v>18</v>
      </c>
      <c r="E5" t="s">
        <v>10</v>
      </c>
      <c r="F5">
        <v>1299</v>
      </c>
    </row>
    <row r="6" spans="1:6" x14ac:dyDescent="0.35">
      <c r="A6" t="s">
        <v>15</v>
      </c>
      <c r="B6" t="s">
        <v>19</v>
      </c>
      <c r="C6" t="s">
        <v>17</v>
      </c>
      <c r="D6" t="s">
        <v>18</v>
      </c>
      <c r="E6" t="s">
        <v>12</v>
      </c>
      <c r="F6">
        <v>1299</v>
      </c>
    </row>
    <row r="7" spans="1:6" x14ac:dyDescent="0.35">
      <c r="A7" t="s">
        <v>20</v>
      </c>
      <c r="B7" t="s">
        <v>21</v>
      </c>
      <c r="C7" t="s">
        <v>22</v>
      </c>
      <c r="D7" t="s">
        <v>9</v>
      </c>
      <c r="E7" t="s">
        <v>10</v>
      </c>
      <c r="F7">
        <v>999</v>
      </c>
    </row>
    <row r="8" spans="1:6" x14ac:dyDescent="0.35">
      <c r="A8" t="s">
        <v>20</v>
      </c>
      <c r="B8" t="s">
        <v>23</v>
      </c>
      <c r="C8" t="s">
        <v>22</v>
      </c>
      <c r="D8" t="s">
        <v>9</v>
      </c>
      <c r="E8" t="s">
        <v>12</v>
      </c>
      <c r="F8">
        <v>999</v>
      </c>
    </row>
    <row r="9" spans="1:6" x14ac:dyDescent="0.35">
      <c r="A9" t="s">
        <v>20</v>
      </c>
      <c r="B9" t="s">
        <v>24</v>
      </c>
      <c r="C9" t="s">
        <v>25</v>
      </c>
      <c r="D9" t="s">
        <v>26</v>
      </c>
      <c r="E9">
        <v>8</v>
      </c>
      <c r="F9">
        <v>1999</v>
      </c>
    </row>
    <row r="10" spans="1:6" x14ac:dyDescent="0.35">
      <c r="A10" t="s">
        <v>6</v>
      </c>
      <c r="B10" t="s">
        <v>27</v>
      </c>
      <c r="C10" t="s">
        <v>28</v>
      </c>
      <c r="D10" t="s">
        <v>9</v>
      </c>
      <c r="E10" t="s">
        <v>10</v>
      </c>
      <c r="F10">
        <v>1599</v>
      </c>
    </row>
    <row r="11" spans="1:6" x14ac:dyDescent="0.35">
      <c r="A11" t="s">
        <v>15</v>
      </c>
      <c r="B11" t="s">
        <v>29</v>
      </c>
      <c r="C11" t="s">
        <v>30</v>
      </c>
      <c r="D11" t="s">
        <v>18</v>
      </c>
      <c r="E11" t="s">
        <v>10</v>
      </c>
      <c r="F11">
        <v>699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0209-BA0F-4850-B4C4-4A1A9E267262}">
  <dimension ref="A1:H11"/>
  <sheetViews>
    <sheetView workbookViewId="0">
      <selection activeCell="A5" sqref="A5"/>
    </sheetView>
  </sheetViews>
  <sheetFormatPr defaultRowHeight="14.5" x14ac:dyDescent="0.35"/>
  <cols>
    <col min="1" max="1" width="10.81640625" bestFit="1" customWidth="1"/>
    <col min="2" max="2" width="13" bestFit="1" customWidth="1"/>
    <col min="3" max="3" width="10.54296875" bestFit="1" customWidth="1"/>
    <col min="4" max="4" width="14" customWidth="1"/>
    <col min="5" max="5" width="14.1796875" customWidth="1"/>
    <col min="6" max="6" width="12.90625" customWidth="1"/>
    <col min="7" max="7" width="20.26953125" bestFit="1" customWidth="1"/>
    <col min="8" max="8" width="21.1796875" bestFit="1" customWidth="1"/>
  </cols>
  <sheetData>
    <row r="1" spans="1:8" x14ac:dyDescent="0.35">
      <c r="A1" t="s">
        <v>1</v>
      </c>
      <c r="B1" t="s">
        <v>2</v>
      </c>
      <c r="C1" t="s">
        <v>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 x14ac:dyDescent="0.35">
      <c r="A2" t="s">
        <v>7</v>
      </c>
      <c r="B2" t="s">
        <v>8</v>
      </c>
      <c r="C2" t="s">
        <v>6</v>
      </c>
      <c r="D2">
        <v>20</v>
      </c>
      <c r="E2">
        <v>30</v>
      </c>
      <c r="F2">
        <v>100</v>
      </c>
      <c r="G2">
        <f>IF(Table2[[#This Row],[Current Stock]]&lt;Table2[[#This Row],[Reorder Level]],Table2[[#This Row],[Target Stock]]-Table2[[#This Row],[Current Stock]],0)</f>
        <v>80</v>
      </c>
      <c r="H2" t="str">
        <f>IF(Table2[[#This Row],[Current Stock]]&lt;Table2[[#This Row],[Reorder Level]],"YES","NO")</f>
        <v>YES</v>
      </c>
    </row>
    <row r="3" spans="1:8" x14ac:dyDescent="0.35">
      <c r="A3" t="s">
        <v>11</v>
      </c>
      <c r="B3" t="s">
        <v>8</v>
      </c>
      <c r="C3" t="s">
        <v>6</v>
      </c>
      <c r="D3">
        <v>65</v>
      </c>
      <c r="E3">
        <v>30</v>
      </c>
      <c r="F3">
        <v>100</v>
      </c>
      <c r="G3">
        <f>IF(Table2[[#This Row],[Current Stock]]&lt;Table2[[#This Row],[Reorder Level]],Table2[[#This Row],[Target Stock]]-Table2[[#This Row],[Current Stock]],0)</f>
        <v>0</v>
      </c>
      <c r="H3" t="str">
        <f>IF(Table2[[#This Row],[Current Stock]]&lt;Table2[[#This Row],[Reorder Level]],"YES","NO")</f>
        <v>NO</v>
      </c>
    </row>
    <row r="4" spans="1:8" x14ac:dyDescent="0.35">
      <c r="A4" t="s">
        <v>13</v>
      </c>
      <c r="B4" t="s">
        <v>14</v>
      </c>
      <c r="C4" t="s">
        <v>6</v>
      </c>
      <c r="D4">
        <v>18</v>
      </c>
      <c r="E4">
        <v>25</v>
      </c>
      <c r="F4">
        <v>80</v>
      </c>
      <c r="G4">
        <f>IF(Table2[[#This Row],[Current Stock]]&lt;Table2[[#This Row],[Reorder Level]],Table2[[#This Row],[Target Stock]]-Table2[[#This Row],[Current Stock]],0)</f>
        <v>62</v>
      </c>
      <c r="H4" t="str">
        <f>IF(Table2[[#This Row],[Current Stock]]&lt;Table2[[#This Row],[Reorder Level]],"YES","NO")</f>
        <v>YES</v>
      </c>
    </row>
    <row r="5" spans="1:8" x14ac:dyDescent="0.35">
      <c r="A5" t="s">
        <v>16</v>
      </c>
      <c r="B5" t="s">
        <v>17</v>
      </c>
      <c r="C5" t="s">
        <v>15</v>
      </c>
      <c r="D5">
        <v>22</v>
      </c>
      <c r="E5">
        <v>30</v>
      </c>
      <c r="F5">
        <v>100</v>
      </c>
      <c r="G5">
        <f>IF(Table2[[#This Row],[Current Stock]]&lt;Table2[[#This Row],[Reorder Level]],Table2[[#This Row],[Target Stock]]-Table2[[#This Row],[Current Stock]],0)</f>
        <v>78</v>
      </c>
      <c r="H5" t="str">
        <f>IF(Table2[[#This Row],[Current Stock]]&lt;Table2[[#This Row],[Reorder Level]],"YES","NO")</f>
        <v>YES</v>
      </c>
    </row>
    <row r="6" spans="1:8" x14ac:dyDescent="0.35">
      <c r="A6" t="s">
        <v>19</v>
      </c>
      <c r="B6" t="s">
        <v>17</v>
      </c>
      <c r="C6" t="s">
        <v>15</v>
      </c>
      <c r="D6">
        <v>70</v>
      </c>
      <c r="E6">
        <v>30</v>
      </c>
      <c r="F6">
        <v>100</v>
      </c>
      <c r="G6">
        <f>IF(Table2[[#This Row],[Current Stock]]&lt;Table2[[#This Row],[Reorder Level]],Table2[[#This Row],[Target Stock]]-Table2[[#This Row],[Current Stock]],0)</f>
        <v>0</v>
      </c>
      <c r="H6" t="str">
        <f>IF(Table2[[#This Row],[Current Stock]]&lt;Table2[[#This Row],[Reorder Level]],"YES","NO")</f>
        <v>NO</v>
      </c>
    </row>
    <row r="7" spans="1:8" x14ac:dyDescent="0.35">
      <c r="A7" t="s">
        <v>21</v>
      </c>
      <c r="B7" t="s">
        <v>22</v>
      </c>
      <c r="C7" t="s">
        <v>20</v>
      </c>
      <c r="D7">
        <v>15</v>
      </c>
      <c r="E7">
        <v>25</v>
      </c>
      <c r="F7">
        <v>80</v>
      </c>
      <c r="G7">
        <f>IF(Table2[[#This Row],[Current Stock]]&lt;Table2[[#This Row],[Reorder Level]],Table2[[#This Row],[Target Stock]]-Table2[[#This Row],[Current Stock]],0)</f>
        <v>65</v>
      </c>
      <c r="H7" t="str">
        <f>IF(Table2[[#This Row],[Current Stock]]&lt;Table2[[#This Row],[Reorder Level]],"YES","NO")</f>
        <v>YES</v>
      </c>
    </row>
    <row r="8" spans="1:8" x14ac:dyDescent="0.35">
      <c r="A8" t="s">
        <v>23</v>
      </c>
      <c r="B8" t="s">
        <v>22</v>
      </c>
      <c r="C8" t="s">
        <v>20</v>
      </c>
      <c r="D8">
        <v>55</v>
      </c>
      <c r="E8">
        <v>25</v>
      </c>
      <c r="F8">
        <v>80</v>
      </c>
      <c r="G8">
        <f>IF(Table2[[#This Row],[Current Stock]]&lt;Table2[[#This Row],[Reorder Level]],Table2[[#This Row],[Target Stock]]-Table2[[#This Row],[Current Stock]],0)</f>
        <v>0</v>
      </c>
      <c r="H8" t="str">
        <f>IF(Table2[[#This Row],[Current Stock]]&lt;Table2[[#This Row],[Reorder Level]],"YES","NO")</f>
        <v>NO</v>
      </c>
    </row>
    <row r="9" spans="1:8" x14ac:dyDescent="0.35">
      <c r="A9" t="s">
        <v>24</v>
      </c>
      <c r="B9" t="s">
        <v>25</v>
      </c>
      <c r="C9" t="s">
        <v>20</v>
      </c>
      <c r="D9">
        <v>12</v>
      </c>
      <c r="E9">
        <v>20</v>
      </c>
      <c r="F9">
        <v>60</v>
      </c>
      <c r="G9">
        <f>IF(Table2[[#This Row],[Current Stock]]&lt;Table2[[#This Row],[Reorder Level]],Table2[[#This Row],[Target Stock]]-Table2[[#This Row],[Current Stock]],0)</f>
        <v>48</v>
      </c>
      <c r="H9" t="str">
        <f>IF(Table2[[#This Row],[Current Stock]]&lt;Table2[[#This Row],[Reorder Level]],"YES","NO")</f>
        <v>YES</v>
      </c>
    </row>
    <row r="10" spans="1:8" x14ac:dyDescent="0.35">
      <c r="A10" t="s">
        <v>27</v>
      </c>
      <c r="B10" t="s">
        <v>28</v>
      </c>
      <c r="C10" t="s">
        <v>6</v>
      </c>
      <c r="D10">
        <v>35</v>
      </c>
      <c r="E10">
        <v>25</v>
      </c>
      <c r="F10">
        <v>70</v>
      </c>
      <c r="G10">
        <f>IF(Table2[[#This Row],[Current Stock]]&lt;Table2[[#This Row],[Reorder Level]],Table2[[#This Row],[Target Stock]]-Table2[[#This Row],[Current Stock]],0)</f>
        <v>0</v>
      </c>
      <c r="H10" t="str">
        <f>IF(Table2[[#This Row],[Current Stock]]&lt;Table2[[#This Row],[Reorder Level]],"YES","NO")</f>
        <v>NO</v>
      </c>
    </row>
    <row r="11" spans="1:8" x14ac:dyDescent="0.35">
      <c r="A11" t="s">
        <v>29</v>
      </c>
      <c r="B11" t="s">
        <v>30</v>
      </c>
      <c r="C11" t="s">
        <v>15</v>
      </c>
      <c r="D11">
        <v>10</v>
      </c>
      <c r="E11">
        <v>20</v>
      </c>
      <c r="F11">
        <v>60</v>
      </c>
      <c r="G11">
        <f>IF(Table2[[#This Row],[Current Stock]]&lt;Table2[[#This Row],[Reorder Level]],Table2[[#This Row],[Target Stock]]-Table2[[#This Row],[Current Stock]],0)</f>
        <v>50</v>
      </c>
      <c r="H11" t="str">
        <f>IF(Table2[[#This Row],[Current Stock]]&lt;Table2[[#This Row],[Reorder Level]],"YES","NO")</f>
        <v>YES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5A8A-0760-4895-9084-5A8153C3B7E4}">
  <dimension ref="A1:H7"/>
  <sheetViews>
    <sheetView workbookViewId="0">
      <selection activeCell="A4" sqref="A4"/>
    </sheetView>
  </sheetViews>
  <sheetFormatPr defaultRowHeight="14.5" x14ac:dyDescent="0.35"/>
  <cols>
    <col min="1" max="1" width="7.453125" customWidth="1"/>
    <col min="2" max="2" width="10.54296875" bestFit="1" customWidth="1"/>
    <col min="3" max="3" width="10.08984375" bestFit="1" customWidth="1"/>
    <col min="4" max="4" width="13" bestFit="1" customWidth="1"/>
    <col min="5" max="5" width="5.7265625" customWidth="1"/>
    <col min="6" max="7" width="10.7265625" customWidth="1"/>
    <col min="8" max="8" width="7.90625" customWidth="1"/>
  </cols>
  <sheetData>
    <row r="1" spans="1:8" x14ac:dyDescent="0.35">
      <c r="A1" t="s">
        <v>36</v>
      </c>
      <c r="B1" t="s">
        <v>0</v>
      </c>
      <c r="C1" t="s">
        <v>1</v>
      </c>
      <c r="D1" t="s">
        <v>2</v>
      </c>
      <c r="E1" t="s">
        <v>37</v>
      </c>
      <c r="F1" t="s">
        <v>5</v>
      </c>
      <c r="G1" t="s">
        <v>43</v>
      </c>
      <c r="H1" t="s">
        <v>38</v>
      </c>
    </row>
    <row r="2" spans="1:8" x14ac:dyDescent="0.35">
      <c r="A2" t="s">
        <v>39</v>
      </c>
      <c r="B2" t="s">
        <v>6</v>
      </c>
      <c r="C2" t="s">
        <v>7</v>
      </c>
      <c r="D2" t="s">
        <v>8</v>
      </c>
      <c r="E2">
        <v>80</v>
      </c>
      <c r="F2" s="1">
        <v>799</v>
      </c>
      <c r="G2" s="1">
        <f>Table3[[#This Row],[Unit Price]]*Table3[[#This Row],[Qty]]</f>
        <v>63920</v>
      </c>
      <c r="H2" t="s">
        <v>40</v>
      </c>
    </row>
    <row r="3" spans="1:8" x14ac:dyDescent="0.35">
      <c r="A3" t="s">
        <v>39</v>
      </c>
      <c r="B3" t="s">
        <v>6</v>
      </c>
      <c r="C3" t="s">
        <v>13</v>
      </c>
      <c r="D3" t="s">
        <v>14</v>
      </c>
      <c r="E3">
        <v>62</v>
      </c>
      <c r="F3" s="1">
        <v>1499</v>
      </c>
      <c r="G3" s="1">
        <f>Table3[[#This Row],[Unit Price]]*Table3[[#This Row],[Qty]]</f>
        <v>92938</v>
      </c>
      <c r="H3" t="s">
        <v>40</v>
      </c>
    </row>
    <row r="4" spans="1:8" x14ac:dyDescent="0.35">
      <c r="A4" t="s">
        <v>41</v>
      </c>
      <c r="B4" t="s">
        <v>15</v>
      </c>
      <c r="C4" t="s">
        <v>16</v>
      </c>
      <c r="D4" t="s">
        <v>17</v>
      </c>
      <c r="E4">
        <v>78</v>
      </c>
      <c r="F4" s="1">
        <v>1299</v>
      </c>
      <c r="G4" s="1">
        <f>Table3[[#This Row],[Unit Price]]*Table3[[#This Row],[Qty]]</f>
        <v>101322</v>
      </c>
      <c r="H4" t="s">
        <v>40</v>
      </c>
    </row>
    <row r="5" spans="1:8" x14ac:dyDescent="0.35">
      <c r="A5" t="s">
        <v>41</v>
      </c>
      <c r="B5" t="s">
        <v>15</v>
      </c>
      <c r="C5" t="s">
        <v>29</v>
      </c>
      <c r="D5" t="s">
        <v>30</v>
      </c>
      <c r="E5">
        <v>50</v>
      </c>
      <c r="F5" s="1">
        <v>699</v>
      </c>
      <c r="G5" s="1">
        <f>Table3[[#This Row],[Unit Price]]*Table3[[#This Row],[Qty]]</f>
        <v>34950</v>
      </c>
      <c r="H5" t="s">
        <v>40</v>
      </c>
    </row>
    <row r="6" spans="1:8" x14ac:dyDescent="0.35">
      <c r="A6" t="s">
        <v>42</v>
      </c>
      <c r="B6" t="s">
        <v>20</v>
      </c>
      <c r="C6" t="s">
        <v>21</v>
      </c>
      <c r="D6" t="s">
        <v>22</v>
      </c>
      <c r="E6">
        <v>65</v>
      </c>
      <c r="F6" s="1">
        <v>999</v>
      </c>
      <c r="G6" s="1">
        <f>Table3[[#This Row],[Unit Price]]*Table3[[#This Row],[Qty]]</f>
        <v>64935</v>
      </c>
      <c r="H6" t="s">
        <v>40</v>
      </c>
    </row>
    <row r="7" spans="1:8" x14ac:dyDescent="0.35">
      <c r="A7" t="s">
        <v>42</v>
      </c>
      <c r="B7" t="s">
        <v>20</v>
      </c>
      <c r="C7" t="s">
        <v>24</v>
      </c>
      <c r="D7" t="s">
        <v>25</v>
      </c>
      <c r="E7">
        <v>48</v>
      </c>
      <c r="F7" s="1">
        <v>1999</v>
      </c>
      <c r="G7" s="1">
        <f>Table3[[#This Row],[Unit Price]]*Table3[[#This Row],[Qty]]</f>
        <v>95952</v>
      </c>
      <c r="H7" t="s">
        <v>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52DB-2AE3-4087-9187-967E7E52345E}">
  <dimension ref="A1:H9"/>
  <sheetViews>
    <sheetView workbookViewId="0">
      <selection activeCell="D7" sqref="D7"/>
    </sheetView>
  </sheetViews>
  <sheetFormatPr defaultRowHeight="14.5" x14ac:dyDescent="0.35"/>
  <cols>
    <col min="1" max="1" width="7.453125" customWidth="1"/>
    <col min="2" max="2" width="10.54296875" bestFit="1" customWidth="1"/>
    <col min="3" max="3" width="9.54296875" customWidth="1"/>
    <col min="4" max="4" width="17.54296875" customWidth="1"/>
    <col min="5" max="5" width="15.1796875" customWidth="1"/>
    <col min="6" max="6" width="10.7265625" customWidth="1"/>
    <col min="7" max="7" width="12" bestFit="1" customWidth="1"/>
  </cols>
  <sheetData>
    <row r="1" spans="1:8" x14ac:dyDescent="0.35">
      <c r="A1" t="s">
        <v>36</v>
      </c>
      <c r="B1" t="s">
        <v>0</v>
      </c>
      <c r="C1" t="s">
        <v>44</v>
      </c>
      <c r="D1" t="s">
        <v>45</v>
      </c>
      <c r="E1" t="s">
        <v>46</v>
      </c>
      <c r="F1" t="s">
        <v>47</v>
      </c>
      <c r="G1" t="s">
        <v>51</v>
      </c>
      <c r="H1" t="s">
        <v>50</v>
      </c>
    </row>
    <row r="2" spans="1:8" x14ac:dyDescent="0.35">
      <c r="A2" t="s">
        <v>39</v>
      </c>
      <c r="B2" t="s">
        <v>6</v>
      </c>
      <c r="C2" s="2">
        <v>46286</v>
      </c>
      <c r="D2" s="2">
        <v>46293</v>
      </c>
      <c r="E2" s="2">
        <v>46292</v>
      </c>
      <c r="F2" t="s">
        <v>48</v>
      </c>
      <c r="G2" t="str">
        <f>IF(Table4[[#This Row],[Actual Delivery]]="","Pending",IF(Table4[[#This Row],[Actual Delivery]]&lt;=Table4[[#This Row],[Expected Delivery]],"Within TAT","Delayed"))</f>
        <v>Within TAT</v>
      </c>
      <c r="H2">
        <f>IF(Table4[[#This Row],[Actual Delivery]]="", "", Table4[[#This Row],[Actual Delivery]]-Table4[[#This Row],[PO Date]])</f>
        <v>6</v>
      </c>
    </row>
    <row r="3" spans="1:8" x14ac:dyDescent="0.35">
      <c r="A3" t="s">
        <v>41</v>
      </c>
      <c r="B3" t="s">
        <v>15</v>
      </c>
      <c r="C3" s="2">
        <v>46286</v>
      </c>
      <c r="D3" s="2">
        <v>46293</v>
      </c>
      <c r="E3" s="2">
        <v>46295</v>
      </c>
      <c r="F3" t="s">
        <v>48</v>
      </c>
      <c r="G3" t="str">
        <f>IF(Table4[[#This Row],[Actual Delivery]]="","Pending",IF(Table4[[#This Row],[Actual Delivery]]&lt;=Table4[[#This Row],[Expected Delivery]],"Within TAT","Delayed"))</f>
        <v>Delayed</v>
      </c>
      <c r="H3">
        <f>IF(Table4[[#This Row],[Actual Delivery]]="", "", Table4[[#This Row],[Actual Delivery]]-Table4[[#This Row],[PO Date]])</f>
        <v>9</v>
      </c>
    </row>
    <row r="4" spans="1:8" x14ac:dyDescent="0.35">
      <c r="A4" t="s">
        <v>42</v>
      </c>
      <c r="B4" t="s">
        <v>20</v>
      </c>
      <c r="C4" s="2">
        <v>46286</v>
      </c>
      <c r="D4" s="2">
        <v>46293</v>
      </c>
      <c r="F4" t="s">
        <v>49</v>
      </c>
      <c r="G4" t="str">
        <f>IF(Table4[[#This Row],[Actual Delivery]]="","Pending",IF(Table4[[#This Row],[Actual Delivery]]&lt;=Table4[[#This Row],[Expected Delivery]],"Within TAT","Delayed"))</f>
        <v>Pending</v>
      </c>
      <c r="H4" t="str">
        <f>IF(Table4[[#This Row],[Actual Delivery]]="", "", Table4[[#This Row],[Actual Delivery]]-Table4[[#This Row],[PO Date]])</f>
        <v/>
      </c>
    </row>
    <row r="5" spans="1:8" x14ac:dyDescent="0.35">
      <c r="A5" t="s">
        <v>52</v>
      </c>
      <c r="B5" t="s">
        <v>6</v>
      </c>
      <c r="C5" s="2">
        <v>46287</v>
      </c>
      <c r="D5" s="2">
        <v>46294</v>
      </c>
      <c r="E5" s="2">
        <v>46294</v>
      </c>
      <c r="F5" t="s">
        <v>48</v>
      </c>
      <c r="G5" s="3" t="str">
        <f>IF(Table4[[#This Row],[Actual Delivery]]="","Pending",IF(Table4[[#This Row],[Actual Delivery]]&lt;=Table4[[#This Row],[Expected Delivery]],"Within TAT","Delayed"))</f>
        <v>Within TAT</v>
      </c>
      <c r="H5" s="3">
        <f>IF(Table4[[#This Row],[Actual Delivery]]="", "", Table4[[#This Row],[Actual Delivery]]-Table4[[#This Row],[PO Date]])</f>
        <v>7</v>
      </c>
    </row>
    <row r="6" spans="1:8" x14ac:dyDescent="0.35">
      <c r="A6" t="s">
        <v>53</v>
      </c>
      <c r="B6" t="s">
        <v>15</v>
      </c>
      <c r="C6" s="2">
        <v>46287</v>
      </c>
      <c r="D6" s="2">
        <v>46298</v>
      </c>
      <c r="F6" t="s">
        <v>54</v>
      </c>
      <c r="G6" s="3" t="str">
        <f>IF(Table4[[#This Row],[Actual Delivery]]="","Pending",IF(Table4[[#This Row],[Actual Delivery]]&lt;=Table4[[#This Row],[Expected Delivery]],"Within TAT","Delayed"))</f>
        <v>Pending</v>
      </c>
      <c r="H6" s="3" t="str">
        <f>IF(Table4[[#This Row],[Actual Delivery]]="", "", Table4[[#This Row],[Actual Delivery]]-Table4[[#This Row],[PO Date]])</f>
        <v/>
      </c>
    </row>
    <row r="7" spans="1:8" x14ac:dyDescent="0.35">
      <c r="A7" t="s">
        <v>55</v>
      </c>
      <c r="B7" t="s">
        <v>20</v>
      </c>
      <c r="C7" s="2">
        <v>46288</v>
      </c>
      <c r="D7" s="2">
        <v>46296</v>
      </c>
      <c r="F7" t="s">
        <v>49</v>
      </c>
      <c r="G7" s="3" t="str">
        <f>IF(Table4[[#This Row],[Actual Delivery]]="","Pending",IF(Table4[[#This Row],[Actual Delivery]]&lt;=Table4[[#This Row],[Expected Delivery]],"Within TAT","Delayed"))</f>
        <v>Pending</v>
      </c>
      <c r="H7" s="3" t="str">
        <f>IF(Table4[[#This Row],[Actual Delivery]]="", "", Table4[[#This Row],[Actual Delivery]]-Table4[[#This Row],[PO Date]])</f>
        <v/>
      </c>
    </row>
    <row r="8" spans="1:8" x14ac:dyDescent="0.35">
      <c r="A8" t="s">
        <v>56</v>
      </c>
      <c r="B8" t="s">
        <v>6</v>
      </c>
      <c r="C8" s="2">
        <v>46288</v>
      </c>
      <c r="D8" s="2">
        <v>46296</v>
      </c>
      <c r="E8" s="2">
        <v>46295</v>
      </c>
      <c r="F8" t="s">
        <v>48</v>
      </c>
      <c r="G8" s="3" t="str">
        <f>IF(Table4[[#This Row],[Actual Delivery]]="","Pending",IF(Table4[[#This Row],[Actual Delivery]]&lt;=Table4[[#This Row],[Expected Delivery]],"Within TAT","Delayed"))</f>
        <v>Within TAT</v>
      </c>
      <c r="H8" s="3">
        <f>IF(Table4[[#This Row],[Actual Delivery]]="", "", Table4[[#This Row],[Actual Delivery]]-Table4[[#This Row],[PO Date]])</f>
        <v>7</v>
      </c>
    </row>
    <row r="9" spans="1:8" x14ac:dyDescent="0.35">
      <c r="A9" t="s">
        <v>57</v>
      </c>
      <c r="B9" t="s">
        <v>15</v>
      </c>
      <c r="C9" s="2">
        <v>46289</v>
      </c>
      <c r="D9" s="2">
        <v>46297</v>
      </c>
      <c r="E9" s="2">
        <v>46299</v>
      </c>
      <c r="F9" t="s">
        <v>48</v>
      </c>
      <c r="G9" s="3" t="str">
        <f>IF(Table4[[#This Row],[Actual Delivery]]="","Pending",IF(Table4[[#This Row],[Actual Delivery]]&lt;=Table4[[#This Row],[Expected Delivery]],"Within TAT","Delayed"))</f>
        <v>Delayed</v>
      </c>
      <c r="H9" s="3">
        <f>IF(Table4[[#This Row],[Actual Delivery]]="", "", Table4[[#This Row],[Actual Delivery]]-Table4[[#This Row],[PO Date]])</f>
        <v>10</v>
      </c>
    </row>
  </sheetData>
  <conditionalFormatting sqref="G1:G1048576">
    <cfRule type="containsText" dxfId="3" priority="1" operator="containsText" text="Pending">
      <formula>NOT(ISERROR(SEARCH("Pending",G1)))</formula>
    </cfRule>
    <cfRule type="containsText" dxfId="2" priority="2" operator="containsText" text="Delayed">
      <formula>NOT(ISERROR(SEARCH("Delayed",G1)))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E60E-AC3F-4DC3-B3B2-3E9759BE5BA0}">
  <dimension ref="A1:J8"/>
  <sheetViews>
    <sheetView tabSelected="1" topLeftCell="F1" workbookViewId="0">
      <selection activeCell="J8" sqref="J8"/>
    </sheetView>
  </sheetViews>
  <sheetFormatPr defaultRowHeight="14.5" x14ac:dyDescent="0.35"/>
  <cols>
    <col min="1" max="1" width="9.6328125" bestFit="1" customWidth="1"/>
    <col min="2" max="2" width="7.81640625" bestFit="1" customWidth="1"/>
    <col min="3" max="3" width="9.7265625" bestFit="1" customWidth="1"/>
    <col min="4" max="4" width="16.7265625" bestFit="1" customWidth="1"/>
    <col min="5" max="5" width="50.81640625" bestFit="1" customWidth="1"/>
    <col min="6" max="6" width="17.54296875" bestFit="1" customWidth="1"/>
    <col min="7" max="7" width="70.6328125" bestFit="1" customWidth="1"/>
    <col min="8" max="8" width="14.54296875" bestFit="1" customWidth="1"/>
    <col min="9" max="9" width="13.08984375" bestFit="1" customWidth="1"/>
    <col min="10" max="10" width="17.90625" bestFit="1" customWidth="1"/>
  </cols>
  <sheetData>
    <row r="1" spans="1:10" x14ac:dyDescent="0.35">
      <c r="A1" t="s">
        <v>58</v>
      </c>
      <c r="B1" t="s">
        <v>36</v>
      </c>
      <c r="C1" t="s">
        <v>0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</row>
    <row r="2" spans="1:10" x14ac:dyDescent="0.35">
      <c r="A2" t="s">
        <v>66</v>
      </c>
      <c r="B2" t="s">
        <v>41</v>
      </c>
      <c r="C2" t="s">
        <v>15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s="2">
        <v>46296</v>
      </c>
    </row>
    <row r="3" spans="1:10" x14ac:dyDescent="0.35">
      <c r="A3" t="s">
        <v>73</v>
      </c>
      <c r="B3" t="s">
        <v>42</v>
      </c>
      <c r="C3" t="s">
        <v>20</v>
      </c>
      <c r="D3" t="s">
        <v>74</v>
      </c>
      <c r="E3" t="s">
        <v>75</v>
      </c>
      <c r="F3" t="s">
        <v>76</v>
      </c>
      <c r="G3" t="s">
        <v>77</v>
      </c>
      <c r="H3" t="s">
        <v>71</v>
      </c>
      <c r="I3" t="s">
        <v>72</v>
      </c>
      <c r="J3" s="2">
        <v>46294</v>
      </c>
    </row>
    <row r="4" spans="1:10" x14ac:dyDescent="0.35">
      <c r="A4" t="s">
        <v>78</v>
      </c>
      <c r="B4" t="s">
        <v>53</v>
      </c>
      <c r="C4" t="s">
        <v>15</v>
      </c>
      <c r="D4" t="s">
        <v>79</v>
      </c>
      <c r="E4" t="s">
        <v>80</v>
      </c>
      <c r="F4" t="s">
        <v>69</v>
      </c>
      <c r="G4" t="s">
        <v>81</v>
      </c>
      <c r="H4" t="s">
        <v>71</v>
      </c>
      <c r="I4" t="s">
        <v>72</v>
      </c>
      <c r="J4" s="2">
        <v>46290</v>
      </c>
    </row>
    <row r="5" spans="1:10" x14ac:dyDescent="0.35">
      <c r="A5" t="s">
        <v>82</v>
      </c>
      <c r="B5" t="s">
        <v>55</v>
      </c>
      <c r="C5" t="s">
        <v>20</v>
      </c>
      <c r="D5" t="s">
        <v>83</v>
      </c>
      <c r="E5" t="s">
        <v>84</v>
      </c>
      <c r="F5" t="s">
        <v>85</v>
      </c>
      <c r="G5" t="s">
        <v>86</v>
      </c>
      <c r="H5" t="s">
        <v>71</v>
      </c>
      <c r="I5" t="s">
        <v>87</v>
      </c>
      <c r="J5" s="2">
        <v>46296</v>
      </c>
    </row>
    <row r="6" spans="1:10" x14ac:dyDescent="0.35">
      <c r="A6" t="s">
        <v>105</v>
      </c>
      <c r="B6" t="s">
        <v>53</v>
      </c>
      <c r="C6" t="s">
        <v>15</v>
      </c>
      <c r="D6" t="s">
        <v>67</v>
      </c>
      <c r="E6" t="s">
        <v>106</v>
      </c>
      <c r="F6" t="s">
        <v>69</v>
      </c>
      <c r="G6" t="s">
        <v>107</v>
      </c>
      <c r="H6" t="s">
        <v>71</v>
      </c>
      <c r="I6" t="s">
        <v>87</v>
      </c>
      <c r="J6" s="2">
        <v>46295</v>
      </c>
    </row>
    <row r="7" spans="1:10" x14ac:dyDescent="0.35">
      <c r="A7" t="s">
        <v>108</v>
      </c>
      <c r="B7" t="s">
        <v>42</v>
      </c>
      <c r="C7" t="s">
        <v>20</v>
      </c>
      <c r="D7" t="s">
        <v>109</v>
      </c>
      <c r="E7" t="s">
        <v>110</v>
      </c>
      <c r="F7" t="s">
        <v>111</v>
      </c>
      <c r="G7" t="s">
        <v>112</v>
      </c>
      <c r="H7" t="s">
        <v>71</v>
      </c>
      <c r="I7" t="s">
        <v>72</v>
      </c>
      <c r="J7" s="2">
        <v>46295</v>
      </c>
    </row>
    <row r="8" spans="1:10" x14ac:dyDescent="0.35">
      <c r="A8" t="s">
        <v>113</v>
      </c>
      <c r="B8" t="s">
        <v>41</v>
      </c>
      <c r="C8" t="s">
        <v>15</v>
      </c>
      <c r="D8" t="s">
        <v>114</v>
      </c>
      <c r="E8" t="s">
        <v>115</v>
      </c>
      <c r="F8" t="s">
        <v>111</v>
      </c>
      <c r="G8" t="s">
        <v>116</v>
      </c>
      <c r="H8" t="s">
        <v>71</v>
      </c>
      <c r="I8" t="s">
        <v>72</v>
      </c>
      <c r="J8" s="2">
        <v>46297</v>
      </c>
    </row>
  </sheetData>
  <dataValidations count="1">
    <dataValidation type="list" allowBlank="1" showInputMessage="1" showErrorMessage="1" sqref="I1:I1048576" xr:uid="{2B42F3E0-86B9-461C-A7BC-9CBDDAF1338D}">
      <formula1>"Open,Monitoring,Resolved"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F1F8-007D-45ED-B46E-9D5CCBFAECE5}">
  <dimension ref="A3:K13"/>
  <sheetViews>
    <sheetView workbookViewId="0">
      <selection activeCell="J16" sqref="J16"/>
    </sheetView>
  </sheetViews>
  <sheetFormatPr defaultRowHeight="14.5" x14ac:dyDescent="0.35"/>
  <cols>
    <col min="1" max="1" width="12.36328125" bestFit="1" customWidth="1"/>
    <col min="2" max="2" width="16.08984375" style="6" bestFit="1" customWidth="1"/>
    <col min="4" max="4" width="12.36328125" bestFit="1" customWidth="1"/>
    <col min="5" max="5" width="13.36328125" bestFit="1" customWidth="1"/>
    <col min="6" max="6" width="15.26953125" bestFit="1" customWidth="1"/>
    <col min="7" max="7" width="12.36328125" bestFit="1" customWidth="1"/>
    <col min="8" max="8" width="13.36328125" bestFit="1" customWidth="1"/>
    <col min="10" max="10" width="16.7265625" bestFit="1" customWidth="1"/>
    <col min="11" max="11" width="15.1796875" bestFit="1" customWidth="1"/>
  </cols>
  <sheetData>
    <row r="3" spans="1:11" x14ac:dyDescent="0.35">
      <c r="A3" s="4" t="s">
        <v>88</v>
      </c>
      <c r="B3" s="6" t="s">
        <v>90</v>
      </c>
      <c r="D3" s="4" t="s">
        <v>88</v>
      </c>
      <c r="E3" t="s">
        <v>91</v>
      </c>
      <c r="G3" s="4" t="s">
        <v>88</v>
      </c>
      <c r="H3" t="s">
        <v>91</v>
      </c>
      <c r="J3" s="4" t="s">
        <v>88</v>
      </c>
      <c r="K3" t="s">
        <v>95</v>
      </c>
    </row>
    <row r="4" spans="1:11" x14ac:dyDescent="0.35">
      <c r="A4" s="5" t="s">
        <v>15</v>
      </c>
      <c r="B4" s="6">
        <v>136272</v>
      </c>
      <c r="D4" s="5" t="s">
        <v>54</v>
      </c>
      <c r="E4" s="3">
        <v>1</v>
      </c>
      <c r="G4" s="5" t="s">
        <v>92</v>
      </c>
      <c r="H4" s="3">
        <v>2</v>
      </c>
      <c r="J4" s="5" t="s">
        <v>67</v>
      </c>
      <c r="K4" s="3">
        <v>2</v>
      </c>
    </row>
    <row r="5" spans="1:11" x14ac:dyDescent="0.35">
      <c r="A5" s="5" t="s">
        <v>20</v>
      </c>
      <c r="B5" s="6">
        <v>160887</v>
      </c>
      <c r="D5" s="5" t="s">
        <v>48</v>
      </c>
      <c r="E5" s="3">
        <v>5</v>
      </c>
      <c r="G5" s="5" t="s">
        <v>93</v>
      </c>
      <c r="H5" s="3">
        <v>3</v>
      </c>
      <c r="J5" s="5" t="s">
        <v>83</v>
      </c>
      <c r="K5" s="3">
        <v>1</v>
      </c>
    </row>
    <row r="6" spans="1:11" x14ac:dyDescent="0.35">
      <c r="A6" s="5" t="s">
        <v>6</v>
      </c>
      <c r="B6" s="6">
        <v>156858</v>
      </c>
      <c r="D6" s="5" t="s">
        <v>49</v>
      </c>
      <c r="E6" s="3">
        <v>2</v>
      </c>
      <c r="G6" s="5" t="s">
        <v>94</v>
      </c>
      <c r="H6" s="3">
        <v>3</v>
      </c>
      <c r="J6" s="5" t="s">
        <v>74</v>
      </c>
      <c r="K6" s="3">
        <v>1</v>
      </c>
    </row>
    <row r="7" spans="1:11" x14ac:dyDescent="0.35">
      <c r="A7" s="5" t="s">
        <v>89</v>
      </c>
      <c r="B7" s="6">
        <v>454017</v>
      </c>
      <c r="D7" s="5" t="s">
        <v>89</v>
      </c>
      <c r="E7" s="3">
        <v>8</v>
      </c>
      <c r="G7" s="5" t="s">
        <v>89</v>
      </c>
      <c r="H7" s="3">
        <v>8</v>
      </c>
      <c r="J7" s="5" t="s">
        <v>79</v>
      </c>
      <c r="K7" s="3">
        <v>1</v>
      </c>
    </row>
    <row r="8" spans="1:11" x14ac:dyDescent="0.35">
      <c r="J8" s="5" t="s">
        <v>109</v>
      </c>
      <c r="K8" s="3">
        <v>1</v>
      </c>
    </row>
    <row r="9" spans="1:11" x14ac:dyDescent="0.35">
      <c r="J9" s="5" t="s">
        <v>114</v>
      </c>
      <c r="K9" s="3">
        <v>1</v>
      </c>
    </row>
    <row r="10" spans="1:11" x14ac:dyDescent="0.35">
      <c r="G10" s="4" t="s">
        <v>88</v>
      </c>
      <c r="H10" t="s">
        <v>95</v>
      </c>
      <c r="J10" s="5" t="s">
        <v>89</v>
      </c>
      <c r="K10" s="3">
        <v>7</v>
      </c>
    </row>
    <row r="11" spans="1:11" x14ac:dyDescent="0.35">
      <c r="G11" s="5" t="s">
        <v>87</v>
      </c>
      <c r="H11" s="3">
        <v>2</v>
      </c>
    </row>
    <row r="12" spans="1:11" x14ac:dyDescent="0.35">
      <c r="G12" s="5" t="s">
        <v>72</v>
      </c>
      <c r="H12" s="3">
        <v>5</v>
      </c>
    </row>
    <row r="13" spans="1:11" x14ac:dyDescent="0.35">
      <c r="G13" s="5" t="s">
        <v>89</v>
      </c>
      <c r="H13" s="3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A7DD-4BF4-473F-AC0E-C96EFE68F5AF}">
  <dimension ref="A1:D36"/>
  <sheetViews>
    <sheetView showGridLines="0" zoomScale="60" zoomScaleNormal="60" workbookViewId="0">
      <selection activeCell="J20" sqref="J20"/>
    </sheetView>
  </sheetViews>
  <sheetFormatPr defaultRowHeight="14.5" x14ac:dyDescent="0.35"/>
  <cols>
    <col min="1" max="1" width="29.6328125" bestFit="1" customWidth="1"/>
    <col min="2" max="2" width="14.90625" customWidth="1"/>
    <col min="3" max="3" width="14.7265625" bestFit="1" customWidth="1"/>
    <col min="4" max="4" width="15.08984375" customWidth="1"/>
    <col min="5" max="5" width="13.1796875" bestFit="1" customWidth="1"/>
  </cols>
  <sheetData>
    <row r="1" spans="1:4" ht="23.5" x14ac:dyDescent="0.55000000000000004">
      <c r="A1" s="7" t="s">
        <v>96</v>
      </c>
      <c r="B1" s="7"/>
      <c r="C1" s="7"/>
      <c r="D1" s="7"/>
    </row>
    <row r="3" spans="1:4" x14ac:dyDescent="0.35">
      <c r="A3" t="s">
        <v>101</v>
      </c>
      <c r="B3" t="s">
        <v>103</v>
      </c>
    </row>
    <row r="4" spans="1:4" x14ac:dyDescent="0.35">
      <c r="A4" t="s">
        <v>97</v>
      </c>
      <c r="B4">
        <v>8</v>
      </c>
    </row>
    <row r="5" spans="1:4" x14ac:dyDescent="0.35">
      <c r="A5" t="s">
        <v>98</v>
      </c>
      <c r="B5" s="6">
        <v>454017</v>
      </c>
    </row>
    <row r="6" spans="1:4" x14ac:dyDescent="0.35">
      <c r="A6" t="s">
        <v>99</v>
      </c>
      <c r="B6">
        <v>5</v>
      </c>
    </row>
    <row r="7" spans="1:4" x14ac:dyDescent="0.35">
      <c r="A7" t="s">
        <v>102</v>
      </c>
      <c r="B7">
        <v>2</v>
      </c>
    </row>
    <row r="8" spans="1:4" x14ac:dyDescent="0.35">
      <c r="A8" t="s">
        <v>100</v>
      </c>
      <c r="B8">
        <f>COUNTIF(Table5[Issue Status],"Open")</f>
        <v>5</v>
      </c>
    </row>
    <row r="36" spans="1:1" ht="18.5" x14ac:dyDescent="0.45">
      <c r="A36" s="8" t="s">
        <v>104</v>
      </c>
    </row>
  </sheetData>
  <mergeCells count="1">
    <mergeCell ref="A1:D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Brand_Product_Master</vt:lpstr>
      <vt:lpstr>Inventory</vt:lpstr>
      <vt:lpstr>Purchase_Order</vt:lpstr>
      <vt:lpstr>PO_Tracker</vt:lpstr>
      <vt:lpstr>Issue_Tracker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Sreeuditi G</dc:creator>
  <cp:lastModifiedBy>Sreeuditi G</cp:lastModifiedBy>
  <dcterms:created xsi:type="dcterms:W3CDTF">2026-09-21T16:28:28Z</dcterms:created>
  <dcterms:modified xsi:type="dcterms:W3CDTF">2026-09-22T07:00:29Z</dcterms:modified>
</cp:coreProperties>
</file>